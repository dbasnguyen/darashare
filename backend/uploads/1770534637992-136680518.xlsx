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nguyen\Downloads\00_SAV_REXEL2025\"/>
    </mc:Choice>
  </mc:AlternateContent>
  <xr:revisionPtr revIDLastSave="0" documentId="13_ncr:1_{6A66B98A-D270-4633-A354-42B677D19E60}" xr6:coauthVersionLast="47" xr6:coauthVersionMax="47" xr10:uidLastSave="{00000000-0000-0000-0000-000000000000}"/>
  <bookViews>
    <workbookView xWindow="-110" yWindow="-110" windowWidth="19420" windowHeight="10300" activeTab="3" xr2:uid="{752B9871-23C7-40B6-9325-BDB2DC3895A3}"/>
  </bookViews>
  <sheets>
    <sheet name="ROLES" sheetId="1" r:id="rId1"/>
    <sheet name="QUIZ" sheetId="3" r:id="rId2"/>
    <sheet name="SECURITE" sheetId="2" r:id="rId3"/>
    <sheet name="VEIL_ALERT"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4" l="1"/>
  <c r="A7" i="4" s="1"/>
  <c r="A8" i="4" s="1"/>
  <c r="C11" i="3"/>
  <c r="C7" i="3"/>
  <c r="C8" i="3"/>
  <c r="C9" i="3" s="1"/>
  <c r="C10" i="3" s="1"/>
  <c r="C6" i="3"/>
</calcChain>
</file>

<file path=xl/sharedStrings.xml><?xml version="1.0" encoding="utf-8"?>
<sst xmlns="http://schemas.openxmlformats.org/spreadsheetml/2006/main" count="143" uniqueCount="136">
  <si>
    <t>Responsabilités</t>
  </si>
  <si>
    <t>Exploitation / RUN</t>
  </si>
  <si>
    <t>Maintenance &amp; Paramétrage</t>
  </si>
  <si>
    <t>Documentation &amp; Process</t>
  </si>
  <si>
    <t>Support</t>
  </si>
  <si>
    <t>Catégorie</t>
  </si>
  <si>
    <t>Compétences</t>
  </si>
  <si>
    <t>Techniques</t>
  </si>
  <si>
    <t>• MongoDB (administration, backups, restauration, indexation basique)</t>
  </si>
  <si>
    <t>• MongoDB Atlas (monitoring, alerting, RBAC, maintenance)</t>
  </si>
  <si>
    <t>• Azure : VNet, Private Endpoint, Key Vault — niveau opérationnel</t>
  </si>
  <si>
    <t>• Linux / Windows</t>
  </si>
  <si>
    <t>• Notions de Terraform (lecture, exécution)</t>
  </si>
  <si>
    <t>• CI/CD : Azure DevOps, GitHub Actions — niveau opérateur</t>
  </si>
  <si>
    <t>Soft skills</t>
  </si>
  <si>
    <t>• Rigueur</t>
  </si>
  <si>
    <t>• Gestion des incidents</t>
  </si>
  <si>
    <t>• Communication avec Dev / Cloud / SecOps</t>
  </si>
  <si>
    <t>• Documentation claire</t>
  </si>
  <si>
    <t xml:space="preserve">Domaine </t>
  </si>
  <si>
    <t>•	Surveiller les clusters MongoDB Atlas (alertes, métriques, logs)
•	Gérer les incidents, escalades et résolutions N2/N3
•	Exécuter les restaurations (snapshots, PITR)
•	Vérifier les backups et la rétention
•	Suivre les fenêtres de maintenance et patchs
•	Gérer les accès MongoDB (RBAC)</t>
  </si>
  <si>
    <t>•	Configurer les alertes Atlas
•	Paramétrer les fenêtres de maintenance
•	Appliquer les patchs mineurs et majeurs
•	Ajuster les paramètres de base (profiling, index recommandés)</t>
  </si>
  <si>
    <t>•	Maintenir les procédures RUN
•	Documenter les restaurations, incidents, changements
•	Participer aux CAB (Change Advisory Board)</t>
  </si>
  <si>
    <t>•	Support aux équipes Dev
•	Analyse des requêtes lentes (niveau basique)
•	Participation aux migrations applicatives</t>
  </si>
  <si>
    <t>Compétences requises</t>
  </si>
  <si>
    <t>•	MongoDB (administration, backups, restauration, indexation basique)
•	MongoDB Atlas (monitoring, alerting, RBAC, maintenance)
•	Azure (VNet, Private Endpoint, Key Vault — niveau opérationnel)
•	Linux / Windows
•	Notions de Terraform (lecture, exécution)
•	CI/CD (Azure DevOps, GitHub Actions — niveau opérateur)</t>
  </si>
  <si>
    <t>•	Rigueur
•	Gestion des incidents
•	Communication avec Dev / Cloud / SecOps
•	Documentation claire</t>
  </si>
  <si>
    <t>PROFILE</t>
  </si>
  <si>
    <t>ROLES DBA CLOUDOPS</t>
  </si>
  <si>
    <t>Droits / Restrictions</t>
  </si>
  <si>
    <t>1. Lecture sur les ressources réseau</t>
  </si>
  <si>
    <r>
      <t xml:space="preserve">• Rôle </t>
    </r>
    <r>
      <rPr>
        <b/>
        <sz val="11"/>
        <color theme="1"/>
        <rFont val="Aptos Narrow"/>
        <family val="2"/>
        <scheme val="minor"/>
      </rPr>
      <t>Reader</t>
    </r>
    <r>
      <rPr>
        <sz val="11"/>
        <color theme="1"/>
        <rFont val="Aptos Narrow"/>
        <family val="2"/>
        <scheme val="minor"/>
      </rPr>
      <t xml:space="preserve"> sur le Resource Group contenant :</t>
    </r>
  </si>
  <si>
    <t>– VNet</t>
  </si>
  <si>
    <t>– Subnets</t>
  </si>
  <si>
    <t>– Private Endpoints</t>
  </si>
  <si>
    <t>– DNS Zones</t>
  </si>
  <si>
    <t>👉 Accès en lecture uniquement, aucune modification possible</t>
  </si>
  <si>
    <t>2. Lecture sur Key Vault</t>
  </si>
  <si>
    <r>
      <t xml:space="preserve">• Rôle </t>
    </r>
    <r>
      <rPr>
        <b/>
        <sz val="11"/>
        <color theme="1"/>
        <rFont val="Aptos Narrow"/>
        <family val="2"/>
        <scheme val="minor"/>
      </rPr>
      <t>Key Vault Reader</t>
    </r>
  </si>
  <si>
    <t>👉 Lecture des clés BYOK, secrets, certificats</t>
  </si>
  <si>
    <t>👉 Aucune création, suppression ou modification</t>
  </si>
  <si>
    <t>3. Lecture sur les logs Azure</t>
  </si>
  <si>
    <r>
      <t xml:space="preserve">• Rôle </t>
    </r>
    <r>
      <rPr>
        <b/>
        <sz val="11"/>
        <color theme="1"/>
        <rFont val="Aptos Narrow"/>
        <family val="2"/>
        <scheme val="minor"/>
      </rPr>
      <t>Log Analytics Reader</t>
    </r>
  </si>
  <si>
    <t>👉 Lecture des logs uniquement, aucune modification</t>
  </si>
  <si>
    <t>4. Aucun droit sur Azure AD</t>
  </si>
  <si>
    <t>Le DBA Cloud Ops ne doit pas :</t>
  </si>
  <si>
    <t>• créer des comptes</t>
  </si>
  <si>
    <t>• gérer des groupes</t>
  </si>
  <si>
    <t>• gérer des identités managées</t>
  </si>
  <si>
    <t>• gérer des rôles Azure AD</t>
  </si>
  <si>
    <t>👉 Ces droits relèvent de SecOps / IAM / Cloud Azure</t>
  </si>
  <si>
    <t>Le DBA Cloud Ops ne doit pas créer :</t>
  </si>
  <si>
    <t>• VNet</t>
  </si>
  <si>
    <t>• Private Endpoint</t>
  </si>
  <si>
    <t>• Key Vault</t>
  </si>
  <si>
    <t>• Resource Group</t>
  </si>
  <si>
    <t>• Managed Identity</t>
  </si>
  <si>
    <t>5. Aucun droit de création/modification 
de ressources Azure</t>
  </si>
  <si>
    <t>1. Lecture des pipelines</t>
  </si>
  <si>
    <t>• Reader sur les pipelines CI/CD</t>
  </si>
  <si>
    <t>• Lecture des logs de build</t>
  </si>
  <si>
    <t>• Lecture des logs de déploiement</t>
  </si>
  <si>
    <t>👉 Accès en lecture uniquement, aucune exécution possible</t>
  </si>
  <si>
    <t>2. Lecture des repositories</t>
  </si>
  <si>
    <t>• Read sur les repositories concernés</t>
  </si>
  <si>
    <t>• Lecture des scripts de migration MongoDB</t>
  </si>
  <si>
    <t>• Lecture des fichiers YAML</t>
  </si>
  <si>
    <t>• Lecture des modules Terraform Atlas (si utilisés)</t>
  </si>
  <si>
    <t>👉 Aucun push, aucune modification de code</t>
  </si>
  <si>
    <t>3. Aucun droit d’exécution ou de modification</t>
  </si>
  <si>
    <t>• lancer un pipeline</t>
  </si>
  <si>
    <t>• modifier un pipeline</t>
  </si>
  <si>
    <t>• modifier un repository</t>
  </si>
  <si>
    <t>• créer une service connection</t>
  </si>
  <si>
    <t>• gérer les secrets DevOps</t>
  </si>
  <si>
    <t>👉 Responsabilité exclusive de DevOps Cloud Azure</t>
  </si>
  <si>
    <t>4. Aucun droit sur les environnements protégés</t>
  </si>
  <si>
    <t>Il ne doit pas pouvoir :</t>
  </si>
  <si>
    <t>• déployer en production</t>
  </si>
  <si>
    <t>• approuver un déploiement</t>
  </si>
  <si>
    <t>• modifier les variables d’environnement</t>
  </si>
  <si>
    <t>👉 Séparation stricte des rôles</t>
  </si>
  <si>
    <t>Question 1</t>
  </si>
  <si>
    <t>Reponse</t>
  </si>
  <si>
    <t>1+2</t>
  </si>
  <si>
    <t>1+2+4+6+7</t>
  </si>
  <si>
    <t>1+2+3</t>
  </si>
  <si>
    <t>Mettez en place un système de veille informationnelle</t>
  </si>
  <si>
    <t>Identifier les besoins</t>
  </si>
  <si>
    <t>points</t>
  </si>
  <si>
    <t>commentaire</t>
  </si>
  <si>
    <t>Votre métier, votre poste, fonction, equipe, l'entreprise</t>
  </si>
  <si>
    <t>Vos objectifs de veille</t>
  </si>
  <si>
    <t>Votre Contexte</t>
  </si>
  <si>
    <t>Vos Forces et faiblesse</t>
  </si>
  <si>
    <t>pb d'animer et parler à la réunion
acquisition de compétence technique
acquisition sur outils de traiding</t>
  </si>
  <si>
    <t>Vos contraintes</t>
  </si>
  <si>
    <r>
      <t xml:space="preserve">Identifiez vos </t>
    </r>
    <r>
      <rPr>
        <b/>
        <sz val="11"/>
        <color theme="1"/>
        <rFont val="Aptos Narrow"/>
        <family val="2"/>
        <scheme val="minor"/>
      </rPr>
      <t>forces</t>
    </r>
    <r>
      <rPr>
        <sz val="11"/>
        <color theme="1"/>
        <rFont val="Aptos Narrow"/>
        <family val="2"/>
        <scheme val="minor"/>
      </rPr>
      <t xml:space="preserve"> (qualités, compétences, talents).</t>
    </r>
  </si>
  <si>
    <r>
      <t xml:space="preserve">Repérez vos </t>
    </r>
    <r>
      <rPr>
        <b/>
        <sz val="11"/>
        <color theme="1"/>
        <rFont val="Aptos Narrow"/>
        <family val="2"/>
        <scheme val="minor"/>
      </rPr>
      <t>faiblesses</t>
    </r>
    <r>
      <rPr>
        <sz val="11"/>
        <color theme="1"/>
        <rFont val="Aptos Narrow"/>
        <family val="2"/>
        <scheme val="minor"/>
      </rPr>
      <t xml:space="preserve"> (freins, lacunes, difficultés).</t>
    </r>
  </si>
  <si>
    <r>
      <t xml:space="preserve">Analysez votre </t>
    </r>
    <r>
      <rPr>
        <b/>
        <sz val="11"/>
        <color theme="1"/>
        <rFont val="Aptos Narrow"/>
        <family val="2"/>
        <scheme val="minor"/>
      </rPr>
      <t>contexte</t>
    </r>
    <r>
      <rPr>
        <sz val="11"/>
        <color theme="1"/>
        <rFont val="Aptos Narrow"/>
        <family val="2"/>
        <scheme val="minor"/>
      </rPr>
      <t xml:space="preserve"> : contraintes + opportunités autour de vous.</t>
    </r>
  </si>
  <si>
    <r>
      <t xml:space="preserve">Définissez vos </t>
    </r>
    <r>
      <rPr>
        <b/>
        <sz val="11"/>
        <color theme="1"/>
        <rFont val="Aptos Narrow"/>
        <family val="2"/>
        <scheme val="minor"/>
      </rPr>
      <t>objectifs de veille</t>
    </r>
    <r>
      <rPr>
        <sz val="11"/>
        <color theme="1"/>
        <rFont val="Aptos Narrow"/>
        <family val="2"/>
        <scheme val="minor"/>
      </rPr>
      <t xml:space="preserve"> selon vos besoins actuels.</t>
    </r>
  </si>
  <si>
    <r>
      <t xml:space="preserve">Orientez votre veille pour </t>
    </r>
    <r>
      <rPr>
        <b/>
        <sz val="11"/>
        <color theme="1"/>
        <rFont val="Aptos Narrow"/>
        <family val="2"/>
        <scheme val="minor"/>
      </rPr>
      <t>combler vos faiblesses</t>
    </r>
    <r>
      <rPr>
        <sz val="11"/>
        <color theme="1"/>
        <rFont val="Aptos Narrow"/>
        <family val="2"/>
        <scheme val="minor"/>
      </rPr>
      <t xml:space="preserve"> et </t>
    </r>
    <r>
      <rPr>
        <b/>
        <sz val="11"/>
        <color theme="1"/>
        <rFont val="Aptos Narrow"/>
        <family val="2"/>
        <scheme val="minor"/>
      </rPr>
      <t>saisir les opportunités</t>
    </r>
  </si>
  <si>
    <t>En dehors des réseaux sociaux, il existe des outils qui vous permettent d’agréger automatiquement du contenu provenant de différentes sources et médias, notamment des blogs et des journaux en ligne.</t>
  </si>
  <si>
    <t>Si vous êtes nostalgique du journal à lire tous les matins, vous pouvez tout à fait vous tourner vers cette solution qui vous donnera chaque jour un contenu personnalisé regroupant les sources de contenu que vous préférez (réseaux sociaux, blogs, journaux en ligne, vidéos etc.) sur un seul média.</t>
  </si>
  <si>
    <t>Feedly : Un lecteur de flux RSS qui centralise les articles de blogs, sites d’information et autres sources d’actualité. Feedly te permet d’organiser les contenus en catégories et de suivre tes sujets préférés. Ses fonctionnalités gratuites sont le suivi de jusqu’à 100 sources, l'organisation en dossiers et la gestion des flux RSS.</t>
  </si>
  <si>
    <t>Flipboard : Flipboard te permet de créer des magazines personnalisés en regroupant des articles, photos et vidéos selon tes centres d’intérêt. Tu peux aussi suivre et partager des magazines créés par d'autres utilisateurs. Ses fonctionnalités gratuites sont la création illimitée de magazines personnalisés, le suivi d’intérêts et le contenu partagé par d’autres utilisateurs.</t>
  </si>
  <si>
    <t xml:space="preserve">Feedly </t>
  </si>
  <si>
    <t xml:space="preserve">Flipboard </t>
  </si>
  <si>
    <t>OUTILS</t>
  </si>
  <si>
    <t>LIEN</t>
  </si>
  <si>
    <t xml:space="preserve">Scoop.it : </t>
  </si>
  <si>
    <t>Inoreader (gratuit dans sa version basique). Cet outil de curation automatisée (agrégateur de flux RSS) a une particularité : il permet également de faire une veille collaborative, en équipe ;</t>
  </si>
  <si>
    <t>Stample (payant). C’est un outil professionnel de veille collaborative qui va au-delà de la simple veille, car il permet également de faire de la gestion d’équipe et de temps.</t>
  </si>
  <si>
    <t>Panda (gratuit dans sa version basique). Avantage : interface moderne, ergonomique, intuitive, très agréable à utiliser. Inconvénient qui n’en est pas vraiment un : ce n’est pas un outil de veille automatisée. En fait, il fonctionne avec une extension pour le navigateur qui permet d’enregistrer n’importe quel contenu sur le web et de l’archiver au même endroit ;</t>
  </si>
  <si>
    <t>Evernote (gratuit dans sa version basique). Cet outil fonctionne sur le même principe de “clipper” pour capturer les pages qui nous intéressent sur le web. Evernote est le premier outil du genre a être sorti, il était donc très populaire il y a quelques années, mais voit des concurrents comme Pocket prendre de plus en plus de notoriété ;</t>
  </si>
  <si>
    <t>Pocket (gratuit dans sa version basique). Idem : il fonctionne avec une extension de marque-page pour le web. Cet outil est très populaire pour sa facilité d’utilisation et son interface moderne et agréable à utiliser. Entre autres : la lecture des articles est fluide, vous ne trouverez aucune publicité, chaque article est affiché tel qu’il le serait sur une liseuse numérique.</t>
  </si>
  <si>
    <t>Inoreader</t>
  </si>
  <si>
    <t>Stample 
(payant)</t>
  </si>
  <si>
    <t xml:space="preserve">Panda </t>
  </si>
  <si>
    <t xml:space="preserve">Evernote </t>
  </si>
  <si>
    <t xml:space="preserve">Pocket </t>
  </si>
  <si>
    <t>Remarque</t>
  </si>
  <si>
    <t>Même si c’est une pratique répandue, évitez d’utiliser le service de “Google Alertes” pour récupérer un flux d’informations sur un mot-clé, vous risquez de vous retrouver inondé d’informations :</t>
  </si>
  <si>
    <r>
      <t>Scoop.it</t>
    </r>
    <r>
      <rPr>
        <b/>
        <sz val="9"/>
        <color rgb="FF271A38"/>
        <rFont val="Arial"/>
        <family val="2"/>
      </rPr>
      <t> : Un outil de veille thématique qui te permet de créer des pages de curation de contenu en fonction de sujets spécifiques. Il est particulièrement utile pour la recherche et le partage de contenu pertinent. Ses fonctionnalités gratuites sont la création d’une seule page de curation avec des fonctionnalités basiques pour organiser et partager du contenu. </t>
    </r>
    <r>
      <rPr>
        <b/>
        <sz val="9"/>
        <color rgb="FF7451EB"/>
        <rFont val="Arial"/>
        <family val="2"/>
      </rPr>
      <t>Vous trouverez la version gratuite ici</t>
    </r>
    <r>
      <rPr>
        <b/>
        <sz val="9"/>
        <color rgb="FF271A38"/>
        <rFont val="Arial"/>
        <family val="2"/>
      </rPr>
      <t>.</t>
    </r>
  </si>
  <si>
    <t>Les outils de curation automatisée permettent d’agréger automatiquement du contenu provenant de différentes sources (blogs, journaux, réseaux sociaux, vidéos…) pour créer un “journal personnalisé”.</t>
  </si>
  <si>
    <t>En bref</t>
  </si>
  <si>
    <r>
      <rPr>
        <b/>
        <sz val="12"/>
        <color theme="9"/>
        <rFont val="Aptos Narrow"/>
        <family val="2"/>
        <scheme val="minor"/>
      </rPr>
      <t>X (Twitter) est le meilleur réseau social pour la veille par mots‑clés.</t>
    </r>
    <r>
      <rPr>
        <sz val="11"/>
        <color theme="1"/>
        <rFont val="Aptos Narrow"/>
        <family val="2"/>
        <scheme val="minor"/>
      </rPr>
      <t xml:space="preserve">
Les outils de curation automatisée centralisent les contenus selon vos sources et vos intérêts.
Les outils non automatisés servent à archiver et organiser les contenus que vous trouvez.
Une fois vos outils choisis, vous pourrez rendre votre veille plus lisible et plus agréable à consulter.</t>
    </r>
  </si>
  <si>
    <t>Pinterest</t>
  </si>
  <si>
    <t>Pearltrees</t>
  </si>
  <si>
    <t xml:space="preserve">Pinterest : idéal pour les métiers du design (UI/UX, graphisme, front-end). outils visuels </t>
  </si>
  <si>
    <r>
      <rPr>
        <b/>
        <sz val="11"/>
        <color rgb="FFFF0000"/>
        <rFont val="Aptos Narrow"/>
        <family val="2"/>
        <scheme val="minor"/>
      </rPr>
      <t>Pearltrees : outil 2‑en‑1 (curation + mindmap)</t>
    </r>
    <r>
      <rPr>
        <sz val="11"/>
        <color theme="1"/>
        <rFont val="Aptos Narrow"/>
        <family val="2"/>
        <scheme val="minor"/>
      </rPr>
      <t xml:space="preserve"> permettant d’organiser sa veille en collections visuelles et arborescentes.
outils visuels </t>
    </r>
  </si>
  <si>
    <t>Résumé – Devenez créateur de contenu à forte valeur ajoutée</t>
  </si>
  <si>
    <t>Créer des infographies pour rendre l’information visuelle.  
Outils recommandés : Canva, Piktochart, Snappa, Adioma, Infogram, Easel.ly, ou même des outils vidéo comme Biteable et Animaker.</t>
  </si>
  <si>
    <t xml:space="preserve"> infographies pour rendre l’information visuelle</t>
  </si>
  <si>
    <t>Rédiger un article de blog pour approfondir un sujet.  
Plateformes possibles : WordPress, Tumblr, Blogger, LinkedIn Articles, Medium.
Conseils : structurer en sections, choisir un titre accrocheur, utiliser storytelling ou formats “Top 10”.</t>
  </si>
  <si>
    <t>pour approfondir un sujet.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</si>
</sst>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1"/>
      <color theme="1"/>
      <name val="Aptos Narrow"/>
      <family val="2"/>
      <scheme val="minor"/>
    </font>
    <font>
      <b/>
      <sz val="12"/>
      <color theme="1"/>
      <name val="Aptos Narrow"/>
      <family val="2"/>
      <scheme val="minor"/>
    </font>
    <font>
      <sz val="12"/>
      <color theme="1"/>
      <name val="Aptos Narrow"/>
      <family val="2"/>
      <scheme val="minor"/>
    </font>
    <font>
      <b/>
      <sz val="11"/>
      <color theme="1"/>
      <name val="Aptos"/>
      <family val="2"/>
    </font>
    <font>
      <u/>
      <sz val="11"/>
      <color theme="10"/>
      <name val="Aptos Narrow"/>
      <family val="2"/>
      <scheme val="minor"/>
    </font>
    <font>
      <b/>
      <sz val="14"/>
      <color theme="1"/>
      <name val="Aptos Narrow"/>
      <family val="2"/>
      <scheme val="minor"/>
    </font>
    <font>
      <b/>
      <sz val="10"/>
      <color rgb="FF616161"/>
      <name val="Arial"/>
      <family val="2"/>
    </font>
    <font>
      <sz val="8"/>
      <color rgb="FF271A38"/>
      <name val="Arial"/>
      <family val="2"/>
    </font>
    <font>
      <b/>
      <sz val="9"/>
      <color rgb="FF271A38"/>
      <name val="Arial"/>
      <family val="2"/>
    </font>
    <font>
      <b/>
      <sz val="11"/>
      <color rgb="FF271A38"/>
      <name val="Arial"/>
      <family val="2"/>
    </font>
    <font>
      <b/>
      <sz val="9"/>
      <color rgb="FF7451EB"/>
      <name val="Arial"/>
      <family val="2"/>
    </font>
    <font>
      <b/>
      <u/>
      <sz val="10"/>
      <color theme="10"/>
      <name val="Aptos Narrow"/>
      <family val="2"/>
      <scheme val="minor"/>
    </font>
    <font>
      <b/>
      <sz val="12"/>
      <color theme="9"/>
      <name val="Aptos Narrow"/>
      <family val="2"/>
      <scheme val="minor"/>
    </font>
    <font>
      <b/>
      <sz val="11"/>
      <color rgb="FFFF0000"/>
      <name val="Aptos Narrow"/>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45">
    <xf numFmtId="0" fontId="0" fillId="0" borderId="0" xfId="0"/>
    <xf numFmtId="0" fontId="0" fillId="0" borderId="0" xfId="0" applyAlignment="1">
      <alignment vertical="center" wrapText="1"/>
    </xf>
    <xf numFmtId="0" fontId="1" fillId="0" borderId="1" xfId="0" applyFont="1" applyBorder="1" applyAlignment="1">
      <alignment vertical="center" wrapText="1"/>
    </xf>
    <xf numFmtId="0" fontId="0" fillId="2" borderId="1" xfId="0" applyFill="1" applyBorder="1" applyAlignment="1">
      <alignment vertical="center" wrapText="1"/>
    </xf>
    <xf numFmtId="0" fontId="0" fillId="3" borderId="1" xfId="0" applyFill="1" applyBorder="1" applyAlignment="1">
      <alignment vertical="center" wrapText="1"/>
    </xf>
    <xf numFmtId="0" fontId="2" fillId="4"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0" fillId="0" borderId="0" xfId="0" applyAlignment="1">
      <alignment wrapText="1"/>
    </xf>
    <xf numFmtId="0" fontId="0" fillId="0" borderId="0" xfId="0" applyAlignment="1">
      <alignment horizontal="center"/>
    </xf>
    <xf numFmtId="0" fontId="0" fillId="4" borderId="0" xfId="0" applyFill="1"/>
    <xf numFmtId="0" fontId="0" fillId="4" borderId="0" xfId="0" applyFill="1" applyBorder="1" applyAlignment="1">
      <alignment vertical="center" wrapText="1"/>
    </xf>
    <xf numFmtId="0" fontId="3" fillId="0" borderId="0" xfId="0" applyFont="1" applyBorder="1" applyAlignment="1">
      <alignment horizontal="center"/>
    </xf>
    <xf numFmtId="0" fontId="1" fillId="0" borderId="0" xfId="0" applyFont="1" applyBorder="1" applyAlignment="1">
      <alignment vertical="center"/>
    </xf>
    <xf numFmtId="0" fontId="0" fillId="0" borderId="0" xfId="0" applyBorder="1" applyAlignment="1">
      <alignment vertical="center" wrapText="1"/>
    </xf>
    <xf numFmtId="0" fontId="2" fillId="0" borderId="0" xfId="0" applyFont="1" applyBorder="1" applyAlignment="1">
      <alignment horizontal="center"/>
    </xf>
    <xf numFmtId="0" fontId="4" fillId="0" borderId="0" xfId="0" applyFont="1" applyBorder="1" applyAlignment="1">
      <alignment vertical="center"/>
    </xf>
    <xf numFmtId="0" fontId="0" fillId="0" borderId="0" xfId="0" applyBorder="1" applyAlignment="1">
      <alignment wrapText="1"/>
    </xf>
    <xf numFmtId="0" fontId="0" fillId="0" borderId="2" xfId="0" applyBorder="1" applyAlignment="1">
      <alignment vertical="center" wrapText="1"/>
    </xf>
    <xf numFmtId="0" fontId="0" fillId="0" borderId="3" xfId="0"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0" fillId="0" borderId="3" xfId="0" applyBorder="1" applyAlignment="1">
      <alignment horizontal="left" vertical="center" wrapText="1" indent="2"/>
    </xf>
    <xf numFmtId="0" fontId="0" fillId="2" borderId="4" xfId="0" applyFill="1" applyBorder="1" applyAlignment="1">
      <alignment vertical="center" wrapText="1"/>
    </xf>
    <xf numFmtId="0" fontId="0" fillId="2" borderId="4" xfId="0" applyFill="1" applyBorder="1" applyAlignment="1">
      <alignment horizontal="left" vertical="center" wrapText="1" indent="1"/>
    </xf>
    <xf numFmtId="0" fontId="6" fillId="4" borderId="5"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0" fillId="3" borderId="2" xfId="0" applyFill="1" applyBorder="1" applyAlignment="1">
      <alignment vertical="center" wrapText="1"/>
    </xf>
    <xf numFmtId="0" fontId="0" fillId="0" borderId="4" xfId="0" applyBorder="1" applyAlignment="1">
      <alignment horizontal="left" vertical="center" wrapText="1" indent="2"/>
    </xf>
    <xf numFmtId="0" fontId="0" fillId="2" borderId="3" xfId="0" applyFill="1" applyBorder="1" applyAlignment="1">
      <alignment horizontal="left" vertical="center" wrapText="1" indent="1"/>
    </xf>
    <xf numFmtId="0" fontId="0" fillId="2" borderId="4" xfId="0" applyFill="1" applyBorder="1" applyAlignment="1">
      <alignment horizontal="left" vertical="center" wrapText="1" indent="2"/>
    </xf>
    <xf numFmtId="0" fontId="0" fillId="0" borderId="0" xfId="0" quotePrefix="1" applyAlignment="1">
      <alignment horizontal="center"/>
    </xf>
    <xf numFmtId="0" fontId="7" fillId="0" borderId="0" xfId="0" applyFont="1" applyAlignment="1">
      <alignment horizontal="center"/>
    </xf>
    <xf numFmtId="0" fontId="8" fillId="0" borderId="0" xfId="0" applyFont="1" applyAlignment="1">
      <alignment vertical="center" wrapText="1"/>
    </xf>
    <xf numFmtId="0" fontId="0" fillId="0" borderId="0" xfId="0" applyAlignment="1">
      <alignment horizontal="left" vertical="center" wrapText="1" indent="1"/>
    </xf>
    <xf numFmtId="0" fontId="5" fillId="0" borderId="0" xfId="1" applyAlignment="1">
      <alignment horizontal="left" vertical="center" wrapText="1" indent="1"/>
    </xf>
    <xf numFmtId="0" fontId="1" fillId="0" borderId="0" xfId="0" applyFont="1"/>
    <xf numFmtId="0" fontId="10" fillId="0" borderId="0" xfId="0" applyFont="1" applyAlignment="1">
      <alignment vertical="center" wrapText="1"/>
    </xf>
    <xf numFmtId="0" fontId="1" fillId="0" borderId="0" xfId="0" applyFont="1" applyAlignment="1">
      <alignment horizontal="left" vertical="center" wrapText="1"/>
    </xf>
    <xf numFmtId="0" fontId="1" fillId="3" borderId="0" xfId="0" applyFont="1" applyFill="1" applyAlignment="1">
      <alignment horizontal="left" vertical="center" wrapText="1"/>
    </xf>
    <xf numFmtId="0" fontId="1" fillId="4" borderId="0" xfId="0" applyFont="1" applyFill="1" applyAlignment="1">
      <alignment horizontal="left" vertical="center" wrapText="1"/>
    </xf>
    <xf numFmtId="0" fontId="11" fillId="4" borderId="0" xfId="0" applyFont="1" applyFill="1" applyAlignment="1">
      <alignment horizontal="left" vertical="center" wrapText="1" indent="1"/>
    </xf>
    <xf numFmtId="0" fontId="12" fillId="4" borderId="0" xfId="1" applyFont="1" applyFill="1" applyAlignment="1">
      <alignment horizontal="left" vertical="center" wrapText="1" indent="1"/>
    </xf>
    <xf numFmtId="0" fontId="12" fillId="0" borderId="0" xfId="1" applyFont="1" applyAlignment="1">
      <alignment horizontal="left" vertical="center" wrapText="1" indent="1"/>
    </xf>
  </cellXfs>
  <cellStyles count="2">
    <cellStyle name="Lien hypertexte" xfId="1" builtinId="8"/>
    <cellStyle name="Normal" xfId="0" builtinId="0"/>
  </cellStyles>
  <dxfs count="12">
    <dxf>
      <alignment horizontal="left" vertical="center" textRotation="0" wrapText="1" justifyLastLine="0" shrinkToFit="0" readingOrder="0"/>
    </dxf>
    <dxf>
      <alignment horizontal="left" vertical="center" textRotation="0" wrapText="1" indent="1" justifyLastLine="0" shrinkToFit="0" readingOrder="0"/>
    </dxf>
    <dxf>
      <font>
        <b/>
      </font>
      <alignment horizontal="left" vertical="center" textRotation="0" wrapText="1" justifyLastLine="0" shrinkToFit="0" readingOrder="0"/>
    </dxf>
    <dxf>
      <alignment horizontal="general" vertical="bottom" textRotation="0" wrapText="1" indent="0" justifyLastLine="0" shrinkToFit="0" readingOrder="0"/>
    </dxf>
    <dxf>
      <font>
        <b/>
      </font>
    </dxf>
    <dxf>
      <border diagonalUp="0" diagonalDown="0">
        <left style="medium">
          <color indexed="64"/>
        </left>
        <right style="medium">
          <color indexed="64"/>
        </right>
        <top style="medium">
          <color indexed="64"/>
        </top>
        <bottom style="medium">
          <color indexed="64"/>
        </bottom>
      </border>
    </dxf>
    <dxf>
      <alignment horizontal="general" vertical="center" textRotation="0" indent="0" justifyLastLine="0" shrinkToFit="0" readingOrder="0"/>
    </dxf>
    <dxf>
      <font>
        <b/>
      </font>
      <alignment horizontal="general" vertical="center" textRotation="0" indent="0" justifyLastLine="0" shrinkToFit="0" readingOrder="0"/>
    </dxf>
    <dxf>
      <border diagonalUp="0" diagonalDown="0">
        <left style="medium">
          <color indexed="64"/>
        </left>
        <right style="medium">
          <color indexed="64"/>
        </right>
        <top style="medium">
          <color indexed="64"/>
        </top>
        <bottom style="medium">
          <color indexed="64"/>
        </bottom>
      </border>
    </dxf>
    <dxf>
      <font>
        <b/>
        <strike val="0"/>
        <outline val="0"/>
        <shadow val="0"/>
        <u val="none"/>
        <vertAlign val="baseline"/>
        <sz val="12"/>
        <color theme="1"/>
        <name val="Aptos Narrow"/>
        <family val="2"/>
        <scheme val="minor"/>
      </font>
      <alignment horizontal="center" vertical="bottom" textRotation="0" wrapText="0" indent="0" justifyLastLine="0" shrinkToFit="0" readingOrder="0"/>
    </dxf>
    <dxf>
      <font>
        <strike val="0"/>
        <outline val="0"/>
        <shadow val="0"/>
        <u val="none"/>
        <vertAlign val="baseline"/>
        <sz val="12"/>
        <color theme="1"/>
        <name val="Aptos Narrow"/>
        <family val="2"/>
        <scheme val="minor"/>
      </font>
      <alignment horizontal="center" vertical="bottom" textRotation="0" wrapText="0" indent="0" justifyLastLine="0" shrinkToFit="0" readingOrder="0"/>
    </dxf>
    <dxf>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9DBF2C-0742-4806-A0DB-46547354FA6B}" name="Tableau2" displayName="Tableau2" ref="A20:B24" totalsRowShown="0" headerRowDxfId="10" dataDxfId="11" tableBorderDxfId="8">
  <autoFilter ref="A20:B24" xr:uid="{D59DBF2C-0742-4806-A0DB-46547354FA6B}"/>
  <tableColumns count="2">
    <tableColumn id="1" xr3:uid="{372D552B-70F5-4E47-AAA5-1A8DC7953413}" name="Domaine " dataDxfId="7"/>
    <tableColumn id="2" xr3:uid="{DCD4EBA3-050F-490F-9A87-4DBAF8B59831}" name="Responsabilités" dataDxfId="6"/>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DF4653-9648-4568-A4EC-7BDDDE84EC23}" name="Tableau3" displayName="Tableau3" ref="D20:E22" totalsRowShown="0" headerRowDxfId="9" tableBorderDxfId="5">
  <autoFilter ref="D20:E22" xr:uid="{70DF4653-9648-4568-A4EC-7BDDDE84EC23}"/>
  <tableColumns count="2">
    <tableColumn id="1" xr3:uid="{EAB70CB5-E0E0-4A00-9DF9-F658D04FE3AC}" name="Catégorie" dataDxfId="4"/>
    <tableColumn id="2" xr3:uid="{A8E72020-EC5B-432F-B543-BAC7DBF98336}" name="Compétences requises"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1A81CCA-C486-4BC2-AFF4-EB9C98DCA4D9}" name="Tableau6" displayName="Tableau6" ref="A25:B40" totalsRowShown="0" dataDxfId="0">
  <autoFilter ref="A25:B40" xr:uid="{F1A81CCA-C486-4BC2-AFF4-EB9C98DCA4D9}"/>
  <tableColumns count="2">
    <tableColumn id="1" xr3:uid="{1B780C67-61AC-470C-ACF5-AEF220FA0519}" name="OUTILS" dataDxfId="2"/>
    <tableColumn id="2" xr3:uid="{E146826F-8A5E-43C1-B213-970CBB028CD6}" name="LIEN" dataDxfId="1"/>
  </tableColumns>
  <tableStyleInfo name="TableStyleLight1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hyperlink" Target="https://www.inoreader.com/?lang=fr_FR" TargetMode="External"/><Relationship Id="rId7" Type="http://schemas.openxmlformats.org/officeDocument/2006/relationships/hyperlink" Target="https://getpocket.com/" TargetMode="External"/><Relationship Id="rId2" Type="http://schemas.openxmlformats.org/officeDocument/2006/relationships/hyperlink" Target="https://about.flipboard.com/fr/home-french/" TargetMode="External"/><Relationship Id="rId1" Type="http://schemas.openxmlformats.org/officeDocument/2006/relationships/hyperlink" Target="https://feedly.com/" TargetMode="External"/><Relationship Id="rId6" Type="http://schemas.openxmlformats.org/officeDocument/2006/relationships/hyperlink" Target="https://evernote.com/intl/fr/webclipper/" TargetMode="External"/><Relationship Id="rId5" Type="http://schemas.openxmlformats.org/officeDocument/2006/relationships/hyperlink" Target="https://usepanda.com/" TargetMode="External"/><Relationship Id="rId4" Type="http://schemas.openxmlformats.org/officeDocument/2006/relationships/hyperlink" Target="https://stample.com/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2F86A-104A-475C-8363-6D8897FDD2D7}">
  <dimension ref="A5:E24"/>
  <sheetViews>
    <sheetView zoomScale="70" zoomScaleNormal="70" workbookViewId="0">
      <selection activeCell="A18" sqref="A18:E24"/>
    </sheetView>
  </sheetViews>
  <sheetFormatPr baseColWidth="10" defaultRowHeight="14.5" x14ac:dyDescent="0.35"/>
  <cols>
    <col min="1" max="1" width="24.36328125" bestFit="1" customWidth="1"/>
    <col min="2" max="2" width="53" bestFit="1" customWidth="1"/>
    <col min="3" max="3" width="5.26953125" customWidth="1"/>
    <col min="4" max="4" width="11.90625" customWidth="1"/>
    <col min="5" max="5" width="57.90625" customWidth="1"/>
  </cols>
  <sheetData>
    <row r="5" spans="1:2" ht="16" x14ac:dyDescent="0.35">
      <c r="A5" s="5" t="s">
        <v>5</v>
      </c>
      <c r="B5" s="5" t="s">
        <v>6</v>
      </c>
    </row>
    <row r="6" spans="1:2" ht="29" x14ac:dyDescent="0.35">
      <c r="A6" s="6" t="s">
        <v>7</v>
      </c>
      <c r="B6" s="3" t="s">
        <v>8</v>
      </c>
    </row>
    <row r="7" spans="1:2" ht="29" x14ac:dyDescent="0.35">
      <c r="A7" s="6"/>
      <c r="B7" s="3" t="s">
        <v>9</v>
      </c>
    </row>
    <row r="8" spans="1:2" ht="29" x14ac:dyDescent="0.35">
      <c r="A8" s="6"/>
      <c r="B8" s="3" t="s">
        <v>10</v>
      </c>
    </row>
    <row r="9" spans="1:2" x14ac:dyDescent="0.35">
      <c r="A9" s="6"/>
      <c r="B9" s="3" t="s">
        <v>11</v>
      </c>
    </row>
    <row r="10" spans="1:2" x14ac:dyDescent="0.35">
      <c r="A10" s="6"/>
      <c r="B10" s="3" t="s">
        <v>12</v>
      </c>
    </row>
    <row r="11" spans="1:2" ht="29" x14ac:dyDescent="0.35">
      <c r="A11" s="6"/>
      <c r="B11" s="3" t="s">
        <v>13</v>
      </c>
    </row>
    <row r="12" spans="1:2" x14ac:dyDescent="0.35">
      <c r="A12" s="7" t="s">
        <v>14</v>
      </c>
      <c r="B12" s="4" t="s">
        <v>15</v>
      </c>
    </row>
    <row r="13" spans="1:2" x14ac:dyDescent="0.35">
      <c r="A13" s="7"/>
      <c r="B13" s="4" t="s">
        <v>16</v>
      </c>
    </row>
    <row r="14" spans="1:2" x14ac:dyDescent="0.35">
      <c r="A14" s="7"/>
      <c r="B14" s="4" t="s">
        <v>17</v>
      </c>
    </row>
    <row r="15" spans="1:2" x14ac:dyDescent="0.35">
      <c r="A15" s="7"/>
      <c r="B15" s="4" t="s">
        <v>18</v>
      </c>
    </row>
    <row r="18" spans="1:5" x14ac:dyDescent="0.35">
      <c r="B18" s="11" t="s">
        <v>28</v>
      </c>
      <c r="E18" s="10" t="s">
        <v>27</v>
      </c>
    </row>
    <row r="20" spans="1:5" ht="16" x14ac:dyDescent="0.4">
      <c r="A20" s="12" t="s">
        <v>19</v>
      </c>
      <c r="B20" s="12" t="s">
        <v>0</v>
      </c>
      <c r="D20" s="15" t="s">
        <v>5</v>
      </c>
      <c r="E20" s="15" t="s">
        <v>24</v>
      </c>
    </row>
    <row r="21" spans="1:5" ht="87" x14ac:dyDescent="0.35">
      <c r="A21" s="13" t="s">
        <v>1</v>
      </c>
      <c r="B21" s="14" t="s">
        <v>20</v>
      </c>
      <c r="D21" s="13" t="s">
        <v>7</v>
      </c>
      <c r="E21" s="14" t="s">
        <v>25</v>
      </c>
    </row>
    <row r="22" spans="1:5" ht="58" x14ac:dyDescent="0.35">
      <c r="A22" s="13" t="s">
        <v>2</v>
      </c>
      <c r="B22" s="14" t="s">
        <v>21</v>
      </c>
      <c r="D22" s="16" t="s">
        <v>14</v>
      </c>
      <c r="E22" s="17" t="s">
        <v>26</v>
      </c>
    </row>
    <row r="23" spans="1:5" ht="43.5" x14ac:dyDescent="0.35">
      <c r="A23" s="13" t="s">
        <v>3</v>
      </c>
      <c r="B23" s="14" t="s">
        <v>22</v>
      </c>
    </row>
    <row r="24" spans="1:5" ht="43.5" x14ac:dyDescent="0.35">
      <c r="A24" s="13" t="s">
        <v>4</v>
      </c>
      <c r="B24" s="14" t="s">
        <v>23</v>
      </c>
    </row>
  </sheetData>
  <mergeCells count="2">
    <mergeCell ref="A6:A11"/>
    <mergeCell ref="A12:A15"/>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3272B-05FC-4586-8446-939BA744E118}">
  <dimension ref="C3:D11"/>
  <sheetViews>
    <sheetView workbookViewId="0">
      <selection activeCell="C12" sqref="C12:D14"/>
    </sheetView>
  </sheetViews>
  <sheetFormatPr baseColWidth="10" defaultRowHeight="14.5" x14ac:dyDescent="0.35"/>
  <sheetData>
    <row r="3" spans="3:4" x14ac:dyDescent="0.35">
      <c r="C3" s="33" t="s">
        <v>82</v>
      </c>
      <c r="D3" s="9" t="s">
        <v>83</v>
      </c>
    </row>
    <row r="4" spans="3:4" x14ac:dyDescent="0.35">
      <c r="C4" s="33">
        <v>1</v>
      </c>
      <c r="D4" s="9">
        <v>2</v>
      </c>
    </row>
    <row r="5" spans="3:4" x14ac:dyDescent="0.35">
      <c r="C5" s="9">
        <v>2</v>
      </c>
      <c r="D5" s="9">
        <v>3</v>
      </c>
    </row>
    <row r="6" spans="3:4" x14ac:dyDescent="0.35">
      <c r="C6" s="9">
        <f>1+C5</f>
        <v>3</v>
      </c>
      <c r="D6" s="9">
        <v>2</v>
      </c>
    </row>
    <row r="7" spans="3:4" x14ac:dyDescent="0.35">
      <c r="C7" s="9">
        <f t="shared" ref="C7:C14" si="0">1+C6</f>
        <v>4</v>
      </c>
      <c r="D7" s="32" t="s">
        <v>84</v>
      </c>
    </row>
    <row r="8" spans="3:4" x14ac:dyDescent="0.35">
      <c r="C8" s="9">
        <f t="shared" si="0"/>
        <v>5</v>
      </c>
      <c r="D8" s="9" t="s">
        <v>85</v>
      </c>
    </row>
    <row r="9" spans="3:4" x14ac:dyDescent="0.35">
      <c r="C9" s="9">
        <f t="shared" si="0"/>
        <v>6</v>
      </c>
      <c r="D9" s="9">
        <v>3</v>
      </c>
    </row>
    <row r="10" spans="3:4" x14ac:dyDescent="0.35">
      <c r="C10" s="9">
        <f t="shared" si="0"/>
        <v>7</v>
      </c>
      <c r="D10" s="9" t="s">
        <v>86</v>
      </c>
    </row>
    <row r="11" spans="3:4" x14ac:dyDescent="0.35">
      <c r="C11" s="9">
        <f t="shared" si="0"/>
        <v>8</v>
      </c>
      <c r="D11" s="9">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D8D0E-8E5C-4578-AEA8-94C9A9EBC654}">
  <dimension ref="A4:B51"/>
  <sheetViews>
    <sheetView topLeftCell="A32" workbookViewId="0">
      <selection activeCell="A30" sqref="A30:B51"/>
    </sheetView>
  </sheetViews>
  <sheetFormatPr baseColWidth="10" defaultRowHeight="14.5" x14ac:dyDescent="0.35"/>
  <cols>
    <col min="1" max="1" width="34.26953125" bestFit="1" customWidth="1"/>
    <col min="2" max="2" width="76.08984375" customWidth="1"/>
  </cols>
  <sheetData>
    <row r="4" spans="1:2" ht="24" customHeight="1" x14ac:dyDescent="0.35">
      <c r="A4" s="26" t="s">
        <v>5</v>
      </c>
      <c r="B4" s="27" t="s">
        <v>29</v>
      </c>
    </row>
    <row r="5" spans="1:2" x14ac:dyDescent="0.35">
      <c r="A5" s="2" t="s">
        <v>30</v>
      </c>
      <c r="B5" s="28" t="s">
        <v>31</v>
      </c>
    </row>
    <row r="6" spans="1:2" x14ac:dyDescent="0.35">
      <c r="A6" s="2"/>
      <c r="B6" s="23" t="s">
        <v>32</v>
      </c>
    </row>
    <row r="7" spans="1:2" x14ac:dyDescent="0.35">
      <c r="A7" s="2"/>
      <c r="B7" s="23" t="s">
        <v>33</v>
      </c>
    </row>
    <row r="8" spans="1:2" x14ac:dyDescent="0.35">
      <c r="A8" s="2"/>
      <c r="B8" s="23" t="s">
        <v>34</v>
      </c>
    </row>
    <row r="9" spans="1:2" x14ac:dyDescent="0.35">
      <c r="A9" s="2"/>
      <c r="B9" s="23" t="s">
        <v>35</v>
      </c>
    </row>
    <row r="10" spans="1:2" x14ac:dyDescent="0.35">
      <c r="A10" s="2"/>
      <c r="B10" s="25" t="s">
        <v>36</v>
      </c>
    </row>
    <row r="11" spans="1:2" x14ac:dyDescent="0.35">
      <c r="A11" s="20" t="s">
        <v>37</v>
      </c>
      <c r="B11" s="28" t="s">
        <v>38</v>
      </c>
    </row>
    <row r="12" spans="1:2" x14ac:dyDescent="0.35">
      <c r="A12" s="21"/>
      <c r="B12" s="30" t="s">
        <v>39</v>
      </c>
    </row>
    <row r="13" spans="1:2" x14ac:dyDescent="0.35">
      <c r="A13" s="22"/>
      <c r="B13" s="30" t="s">
        <v>40</v>
      </c>
    </row>
    <row r="14" spans="1:2" x14ac:dyDescent="0.35">
      <c r="A14" s="20" t="s">
        <v>41</v>
      </c>
      <c r="B14" s="28" t="s">
        <v>42</v>
      </c>
    </row>
    <row r="15" spans="1:2" x14ac:dyDescent="0.35">
      <c r="A15" s="22"/>
      <c r="B15" s="24" t="s">
        <v>43</v>
      </c>
    </row>
    <row r="16" spans="1:2" x14ac:dyDescent="0.35">
      <c r="A16" s="20" t="s">
        <v>44</v>
      </c>
      <c r="B16" s="28" t="s">
        <v>45</v>
      </c>
    </row>
    <row r="17" spans="1:2" x14ac:dyDescent="0.35">
      <c r="A17" s="21"/>
      <c r="B17" s="23" t="s">
        <v>46</v>
      </c>
    </row>
    <row r="18" spans="1:2" x14ac:dyDescent="0.35">
      <c r="A18" s="21"/>
      <c r="B18" s="23" t="s">
        <v>47</v>
      </c>
    </row>
    <row r="19" spans="1:2" x14ac:dyDescent="0.35">
      <c r="A19" s="21"/>
      <c r="B19" s="23" t="s">
        <v>48</v>
      </c>
    </row>
    <row r="20" spans="1:2" x14ac:dyDescent="0.35">
      <c r="A20" s="21"/>
      <c r="B20" s="23" t="s">
        <v>49</v>
      </c>
    </row>
    <row r="21" spans="1:2" x14ac:dyDescent="0.35">
      <c r="A21" s="22"/>
      <c r="B21" s="25" t="s">
        <v>50</v>
      </c>
    </row>
    <row r="22" spans="1:2" x14ac:dyDescent="0.35">
      <c r="A22" s="20" t="s">
        <v>57</v>
      </c>
      <c r="B22" s="28" t="s">
        <v>51</v>
      </c>
    </row>
    <row r="23" spans="1:2" x14ac:dyDescent="0.35">
      <c r="A23" s="21"/>
      <c r="B23" s="23" t="s">
        <v>52</v>
      </c>
    </row>
    <row r="24" spans="1:2" x14ac:dyDescent="0.35">
      <c r="A24" s="21"/>
      <c r="B24" s="23" t="s">
        <v>53</v>
      </c>
    </row>
    <row r="25" spans="1:2" x14ac:dyDescent="0.35">
      <c r="A25" s="21"/>
      <c r="B25" s="23" t="s">
        <v>54</v>
      </c>
    </row>
    <row r="26" spans="1:2" x14ac:dyDescent="0.35">
      <c r="A26" s="21"/>
      <c r="B26" s="23" t="s">
        <v>55</v>
      </c>
    </row>
    <row r="27" spans="1:2" x14ac:dyDescent="0.35">
      <c r="A27" s="22"/>
      <c r="B27" s="29" t="s">
        <v>56</v>
      </c>
    </row>
    <row r="30" spans="1:2" ht="30" customHeight="1" x14ac:dyDescent="0.35">
      <c r="A30" s="27" t="s">
        <v>5</v>
      </c>
      <c r="B30" s="27" t="s">
        <v>29</v>
      </c>
    </row>
    <row r="31" spans="1:2" x14ac:dyDescent="0.35">
      <c r="A31" s="20" t="s">
        <v>58</v>
      </c>
      <c r="B31" s="18" t="s">
        <v>59</v>
      </c>
    </row>
    <row r="32" spans="1:2" x14ac:dyDescent="0.35">
      <c r="A32" s="21"/>
      <c r="B32" s="19" t="s">
        <v>60</v>
      </c>
    </row>
    <row r="33" spans="1:2" x14ac:dyDescent="0.35">
      <c r="A33" s="21"/>
      <c r="B33" s="19" t="s">
        <v>61</v>
      </c>
    </row>
    <row r="34" spans="1:2" x14ac:dyDescent="0.35">
      <c r="A34" s="22"/>
      <c r="B34" s="31" t="s">
        <v>62</v>
      </c>
    </row>
    <row r="35" spans="1:2" x14ac:dyDescent="0.35">
      <c r="A35" s="20" t="s">
        <v>63</v>
      </c>
      <c r="B35" s="18" t="s">
        <v>64</v>
      </c>
    </row>
    <row r="36" spans="1:2" x14ac:dyDescent="0.35">
      <c r="A36" s="21"/>
      <c r="B36" s="19" t="s">
        <v>65</v>
      </c>
    </row>
    <row r="37" spans="1:2" x14ac:dyDescent="0.35">
      <c r="A37" s="21"/>
      <c r="B37" s="19" t="s">
        <v>66</v>
      </c>
    </row>
    <row r="38" spans="1:2" x14ac:dyDescent="0.35">
      <c r="A38" s="21"/>
      <c r="B38" s="19" t="s">
        <v>67</v>
      </c>
    </row>
    <row r="39" spans="1:2" x14ac:dyDescent="0.35">
      <c r="A39" s="22"/>
      <c r="B39" s="31" t="s">
        <v>68</v>
      </c>
    </row>
    <row r="40" spans="1:2" x14ac:dyDescent="0.35">
      <c r="A40" s="20" t="s">
        <v>69</v>
      </c>
      <c r="B40" s="28" t="s">
        <v>45</v>
      </c>
    </row>
    <row r="41" spans="1:2" x14ac:dyDescent="0.35">
      <c r="A41" s="21"/>
      <c r="B41" s="19" t="s">
        <v>70</v>
      </c>
    </row>
    <row r="42" spans="1:2" x14ac:dyDescent="0.35">
      <c r="A42" s="21"/>
      <c r="B42" s="19" t="s">
        <v>71</v>
      </c>
    </row>
    <row r="43" spans="1:2" x14ac:dyDescent="0.35">
      <c r="A43" s="21"/>
      <c r="B43" s="19" t="s">
        <v>72</v>
      </c>
    </row>
    <row r="44" spans="1:2" x14ac:dyDescent="0.35">
      <c r="A44" s="21"/>
      <c r="B44" s="19" t="s">
        <v>73</v>
      </c>
    </row>
    <row r="45" spans="1:2" x14ac:dyDescent="0.35">
      <c r="A45" s="21"/>
      <c r="B45" s="19" t="s">
        <v>74</v>
      </c>
    </row>
    <row r="46" spans="1:2" x14ac:dyDescent="0.35">
      <c r="A46" s="22"/>
      <c r="B46" s="31" t="s">
        <v>75</v>
      </c>
    </row>
    <row r="47" spans="1:2" x14ac:dyDescent="0.35">
      <c r="A47" s="20" t="s">
        <v>76</v>
      </c>
      <c r="B47" s="28" t="s">
        <v>77</v>
      </c>
    </row>
    <row r="48" spans="1:2" x14ac:dyDescent="0.35">
      <c r="A48" s="21"/>
      <c r="B48" s="19" t="s">
        <v>78</v>
      </c>
    </row>
    <row r="49" spans="1:2" x14ac:dyDescent="0.35">
      <c r="A49" s="21"/>
      <c r="B49" s="19" t="s">
        <v>79</v>
      </c>
    </row>
    <row r="50" spans="1:2" x14ac:dyDescent="0.35">
      <c r="A50" s="21"/>
      <c r="B50" s="19" t="s">
        <v>80</v>
      </c>
    </row>
    <row r="51" spans="1:2" x14ac:dyDescent="0.35">
      <c r="A51" s="22"/>
      <c r="B51" s="31" t="s">
        <v>81</v>
      </c>
    </row>
  </sheetData>
  <mergeCells count="9">
    <mergeCell ref="A35:A39"/>
    <mergeCell ref="A40:A46"/>
    <mergeCell ref="A47:A51"/>
    <mergeCell ref="A5:A10"/>
    <mergeCell ref="A11:A13"/>
    <mergeCell ref="A14:A15"/>
    <mergeCell ref="A16:A21"/>
    <mergeCell ref="A22:A27"/>
    <mergeCell ref="A31:A3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91BDD-1478-4107-924E-BFF85E68D276}">
  <dimension ref="A1:C40"/>
  <sheetViews>
    <sheetView tabSelected="1" topLeftCell="A38" zoomScale="130" zoomScaleNormal="130" workbookViewId="0">
      <selection activeCell="B43" sqref="B43"/>
    </sheetView>
  </sheetViews>
  <sheetFormatPr baseColWidth="10" defaultRowHeight="14.5" x14ac:dyDescent="0.35"/>
  <cols>
    <col min="1" max="1" width="14.6328125" customWidth="1"/>
    <col min="2" max="2" width="103.08984375" customWidth="1"/>
    <col min="3" max="3" width="38.36328125" customWidth="1"/>
  </cols>
  <sheetData>
    <row r="1" spans="1:3" x14ac:dyDescent="0.35">
      <c r="A1" t="s">
        <v>87</v>
      </c>
    </row>
    <row r="3" spans="1:3" x14ac:dyDescent="0.35">
      <c r="B3" t="s">
        <v>88</v>
      </c>
    </row>
    <row r="4" spans="1:3" x14ac:dyDescent="0.35">
      <c r="B4" t="s">
        <v>89</v>
      </c>
      <c r="C4" t="s">
        <v>90</v>
      </c>
    </row>
    <row r="5" spans="1:3" x14ac:dyDescent="0.35">
      <c r="A5">
        <v>1</v>
      </c>
      <c r="B5" t="s">
        <v>93</v>
      </c>
      <c r="C5" t="s">
        <v>91</v>
      </c>
    </row>
    <row r="6" spans="1:3" x14ac:dyDescent="0.35">
      <c r="A6">
        <f>1+A5</f>
        <v>2</v>
      </c>
      <c r="B6" t="s">
        <v>94</v>
      </c>
    </row>
    <row r="7" spans="1:3" ht="43.5" x14ac:dyDescent="0.35">
      <c r="A7">
        <f t="shared" ref="A7:A8" si="0">1+A6</f>
        <v>3</v>
      </c>
      <c r="B7" t="s">
        <v>92</v>
      </c>
      <c r="C7" s="8" t="s">
        <v>95</v>
      </c>
    </row>
    <row r="8" spans="1:3" x14ac:dyDescent="0.35">
      <c r="A8">
        <f t="shared" si="0"/>
        <v>4</v>
      </c>
      <c r="B8" t="s">
        <v>96</v>
      </c>
    </row>
    <row r="10" spans="1:3" ht="29" x14ac:dyDescent="0.35">
      <c r="B10" s="1" t="s">
        <v>97</v>
      </c>
    </row>
    <row r="11" spans="1:3" x14ac:dyDescent="0.35">
      <c r="B11" s="1"/>
    </row>
    <row r="12" spans="1:3" ht="29" x14ac:dyDescent="0.35">
      <c r="B12" s="1" t="s">
        <v>98</v>
      </c>
    </row>
    <row r="13" spans="1:3" x14ac:dyDescent="0.35">
      <c r="B13" s="1"/>
    </row>
    <row r="14" spans="1:3" ht="29" x14ac:dyDescent="0.35">
      <c r="B14" s="1" t="s">
        <v>99</v>
      </c>
    </row>
    <row r="15" spans="1:3" x14ac:dyDescent="0.35">
      <c r="B15" s="1"/>
    </row>
    <row r="16" spans="1:3" ht="29" x14ac:dyDescent="0.35">
      <c r="B16" s="1" t="s">
        <v>100</v>
      </c>
    </row>
    <row r="17" spans="1:2" x14ac:dyDescent="0.35">
      <c r="B17" s="1"/>
    </row>
    <row r="18" spans="1:2" ht="29" x14ac:dyDescent="0.35">
      <c r="B18" s="1" t="s">
        <v>101</v>
      </c>
    </row>
    <row r="20" spans="1:2" ht="40" x14ac:dyDescent="0.35">
      <c r="B20" s="34" t="s">
        <v>102</v>
      </c>
    </row>
    <row r="22" spans="1:2" ht="60" x14ac:dyDescent="0.35">
      <c r="B22" s="34" t="s">
        <v>103</v>
      </c>
    </row>
    <row r="24" spans="1:2" ht="28" x14ac:dyDescent="0.35">
      <c r="B24" s="38" t="s">
        <v>124</v>
      </c>
    </row>
    <row r="25" spans="1:2" x14ac:dyDescent="0.35">
      <c r="A25" t="s">
        <v>108</v>
      </c>
      <c r="B25" s="35" t="s">
        <v>109</v>
      </c>
    </row>
    <row r="26" spans="1:2" s="37" customFormat="1" ht="39" x14ac:dyDescent="0.35">
      <c r="A26" s="41" t="s">
        <v>106</v>
      </c>
      <c r="B26" s="43" t="s">
        <v>104</v>
      </c>
    </row>
    <row r="27" spans="1:2" ht="39" x14ac:dyDescent="0.35">
      <c r="A27" s="39" t="s">
        <v>107</v>
      </c>
      <c r="B27" s="44" t="s">
        <v>105</v>
      </c>
    </row>
    <row r="28" spans="1:2" ht="46" x14ac:dyDescent="0.35">
      <c r="A28" s="41" t="s">
        <v>110</v>
      </c>
      <c r="B28" s="42" t="s">
        <v>123</v>
      </c>
    </row>
    <row r="29" spans="1:2" ht="29" x14ac:dyDescent="0.35">
      <c r="A29" s="39" t="s">
        <v>116</v>
      </c>
      <c r="B29" s="36" t="s">
        <v>111</v>
      </c>
    </row>
    <row r="30" spans="1:2" ht="29" x14ac:dyDescent="0.35">
      <c r="A30" s="39" t="s">
        <v>117</v>
      </c>
      <c r="B30" s="36" t="s">
        <v>112</v>
      </c>
    </row>
    <row r="31" spans="1:2" ht="43.5" x14ac:dyDescent="0.35">
      <c r="A31" s="40" t="s">
        <v>118</v>
      </c>
      <c r="B31" s="36" t="s">
        <v>113</v>
      </c>
    </row>
    <row r="32" spans="1:2" ht="43.5" x14ac:dyDescent="0.35">
      <c r="A32" s="40" t="s">
        <v>119</v>
      </c>
      <c r="B32" s="36" t="s">
        <v>114</v>
      </c>
    </row>
    <row r="33" spans="1:2" ht="43.5" x14ac:dyDescent="0.35">
      <c r="A33" s="40" t="s">
        <v>120</v>
      </c>
      <c r="B33" s="36" t="s">
        <v>115</v>
      </c>
    </row>
    <row r="34" spans="1:2" ht="29" x14ac:dyDescent="0.35">
      <c r="A34" s="40" t="s">
        <v>121</v>
      </c>
      <c r="B34" s="35" t="s">
        <v>122</v>
      </c>
    </row>
    <row r="35" spans="1:2" ht="59.5" x14ac:dyDescent="0.35">
      <c r="A35" s="39" t="s">
        <v>125</v>
      </c>
      <c r="B35" s="35" t="s">
        <v>126</v>
      </c>
    </row>
    <row r="36" spans="1:2" x14ac:dyDescent="0.35">
      <c r="A36" s="39" t="s">
        <v>127</v>
      </c>
      <c r="B36" s="35" t="s">
        <v>129</v>
      </c>
    </row>
    <row r="37" spans="1:2" ht="29" x14ac:dyDescent="0.35">
      <c r="A37" s="39" t="s">
        <v>128</v>
      </c>
      <c r="B37" s="35" t="s">
        <v>130</v>
      </c>
    </row>
    <row r="38" spans="1:2" x14ac:dyDescent="0.35">
      <c r="A38" s="39"/>
      <c r="B38" s="35" t="s">
        <v>131</v>
      </c>
    </row>
    <row r="39" spans="1:2" ht="58" x14ac:dyDescent="0.35">
      <c r="A39" s="39" t="s">
        <v>133</v>
      </c>
      <c r="B39" s="35" t="s">
        <v>132</v>
      </c>
    </row>
    <row r="40" spans="1:2" ht="43.5" x14ac:dyDescent="0.35">
      <c r="A40" s="39" t="s">
        <v>135</v>
      </c>
      <c r="B40" s="35" t="s">
        <v>134</v>
      </c>
    </row>
  </sheetData>
  <hyperlinks>
    <hyperlink ref="B26" r:id="rId1" display="https://feedly.com/" xr:uid="{37160629-102B-4580-92A3-B2F4D6A9DE3A}"/>
    <hyperlink ref="B27" r:id="rId2" display="https://about.flipboard.com/fr/home-french/" xr:uid="{A099681D-63ED-408F-B1EB-86F5394E37C6}"/>
    <hyperlink ref="B29" r:id="rId3" display="https://www.inoreader.com/?lang=fr_FR" xr:uid="{F8485A6D-A9F8-41B4-91BD-AEBAA82FE526}"/>
    <hyperlink ref="B30" r:id="rId4" display="https://stample.com/login" xr:uid="{657A20EE-1F46-47C0-85E1-3AB920CBE6E2}"/>
    <hyperlink ref="B31" r:id="rId5" display="https://usepanda.com/" xr:uid="{F0D889C9-1545-4EE6-91C4-722F4DFF88CC}"/>
    <hyperlink ref="B32" r:id="rId6" display="https://evernote.com/intl/fr/webclipper/" xr:uid="{E8C526FA-502A-4D1C-87B4-0045A1C9C12C}"/>
    <hyperlink ref="B33" r:id="rId7" display="https://getpocket.com/" xr:uid="{08DFE739-33CB-4EDA-B40F-2AF9CA4CC159}"/>
  </hyperlinks>
  <pageMargins left="0.7" right="0.7" top="0.75" bottom="0.75" header="0.3" footer="0.3"/>
  <tableParts count="1">
    <tablePart r:id="rId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ROLES</vt:lpstr>
      <vt:lpstr>QUIZ</vt:lpstr>
      <vt:lpstr>SECURITE</vt:lpstr>
      <vt:lpstr>VEIL_ALERT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Stephane</dc:creator>
  <cp:lastModifiedBy>Nguyen, Stephane</cp:lastModifiedBy>
  <dcterms:created xsi:type="dcterms:W3CDTF">2026-01-07T13:01:17Z</dcterms:created>
  <dcterms:modified xsi:type="dcterms:W3CDTF">2026-01-15T17:20:29Z</dcterms:modified>
</cp:coreProperties>
</file>